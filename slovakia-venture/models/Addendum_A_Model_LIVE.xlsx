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s" sheetId="2" state="visible" r:id="rId2"/>
    <sheet name="Income_Bridge_Revised" sheetId="3" state="visible" r:id="rId3"/>
    <sheet name="PL_AssetLight" sheetId="4" state="visible" r:id="rId4"/>
    <sheet name="Exit_Value" sheetId="5" state="visible" r:id="rId5"/>
    <sheet name="Funding_Portfolio" sheetId="6" state="visible" r:id="rId6"/>
    <sheet name="Sector_Scoring_v2" sheetId="7" state="visible" r:id="rId7"/>
    <sheet name="Tier_Ladd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F3864"/>
      <sz val="13"/>
    </font>
    <font>
      <b val="1"/>
    </font>
    <font>
      <i val="1"/>
      <color rgb="00595959"/>
      <sz val="9"/>
    </font>
    <font>
      <b val="1"/>
      <color rgb="00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2" borderId="1" pivotButton="0" quotePrefix="0" xfId="0"/>
    <xf numFmtId="0" fontId="0" fillId="2" borderId="1" pivotButton="0" quotePrefix="0" xfId="0"/>
    <xf numFmtId="0" fontId="0" fillId="0" borderId="1" pivotButton="0" quotePrefix="0" xfId="0"/>
    <xf numFmtId="164" fontId="2" fillId="3" borderId="1" pivotButton="0" quotePrefix="0" xfId="0"/>
    <xf numFmtId="3" fontId="2" fillId="3" borderId="1" pivotButton="0" quotePrefix="0" xfId="0"/>
    <xf numFmtId="4" fontId="2" fillId="3" borderId="1" pivotButton="0" quotePrefix="0" xfId="0"/>
    <xf numFmtId="2" fontId="2" fillId="3" borderId="1" pivotButton="0" quotePrefix="0" xfId="0"/>
    <xf numFmtId="0" fontId="2" fillId="0" borderId="1" pivotButton="0" quotePrefix="0" xfId="0"/>
    <xf numFmtId="164" fontId="2" fillId="4" borderId="1" pivotButton="0" quotePrefix="0" xfId="0"/>
    <xf numFmtId="3" fontId="0" fillId="4" borderId="1" pivotButton="0" quotePrefix="0" xfId="0"/>
    <xf numFmtId="3" fontId="2" fillId="4" borderId="1" pivotButton="0" quotePrefix="0" xfId="0"/>
    <xf numFmtId="164" fontId="0" fillId="4" borderId="1" pivotButton="0" quotePrefix="0" xfId="0"/>
    <xf numFmtId="3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2" fontId="0" fillId="4" borderId="1" pivotButton="0" quotePrefix="0" xfId="0"/>
    <xf numFmtId="0" fontId="0" fillId="3" borderId="1" pivotButton="0" quotePrefix="0" xfId="0"/>
    <xf numFmtId="2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Addendum A — LIVE model (rebuilt 17/09/2026)</t>
        </is>
      </c>
    </row>
    <row r="2">
      <c r="A2" t="inlineStr"/>
    </row>
    <row r="3">
      <c r="A3" s="2" t="inlineStr">
        <is>
          <t>Why this exists: the source Addendum_A_Model.xlsx (16/09/2026) contains ZERO formulas in 632 cells.</t>
        </is>
      </c>
    </row>
    <row r="4">
      <c r="A4" t="inlineStr">
        <is>
          <t>Every figure in it is a typed constant, so no assumption can be tested. This rebuild reproduces its</t>
        </is>
      </c>
    </row>
    <row r="5">
      <c r="A5" t="inlineStr">
        <is>
          <t>structure and its numbers, but drives them from one Assumptions sheet.</t>
        </is>
      </c>
    </row>
    <row r="6">
      <c r="A6" t="inlineStr"/>
    </row>
    <row r="7">
      <c r="A7" s="2" t="inlineStr">
        <is>
          <t>HOW TO USE</t>
        </is>
      </c>
    </row>
    <row r="8">
      <c r="A8" t="inlineStr">
        <is>
          <t>Yellow cells on Assumptions are inputs. Change one and every sheet recalculates.</t>
        </is>
      </c>
    </row>
    <row r="9">
      <c r="A9" t="inlineStr">
        <is>
          <t>Blue cells are calculated — do not type over them.</t>
        </is>
      </c>
    </row>
    <row r="10">
      <c r="A10" t="inlineStr"/>
    </row>
    <row r="11">
      <c r="A11" s="2" t="inlineStr">
        <is>
          <t>SHEETS</t>
        </is>
      </c>
    </row>
    <row r="12">
      <c r="A12" t="inlineStr">
        <is>
          <t>Assumptions          every input, in one place</t>
        </is>
      </c>
    </row>
    <row r="13">
      <c r="A13" t="inlineStr">
        <is>
          <t>Income_Bridge_Revised  the Irish tax correction — THE key sheet. Verify with an Irish tax adviser.</t>
        </is>
      </c>
    </row>
    <row r="14">
      <c r="A14" t="inlineStr">
        <is>
          <t>PL_AssetLight        5-year P&amp;L for the kitting-first business</t>
        </is>
      </c>
    </row>
    <row r="15">
      <c r="A15" t="inlineStr">
        <is>
          <t>Exit_Value           build-for-exit at 10% Irish CGT (Revised Entrepreneur Relief)</t>
        </is>
      </c>
    </row>
    <row r="16">
      <c r="A16" t="inlineStr">
        <is>
          <t>Funding_Portfolio    portfolio probability: how independent applications reach &gt;=90%</t>
        </is>
      </c>
    </row>
    <row r="17">
      <c r="A17" t="inlineStr">
        <is>
          <t>Sector_Scoring_v2    the dossier's scoring sheet PLUS a Reversibility column</t>
        </is>
      </c>
    </row>
    <row r="18">
      <c r="A18" t="inlineStr">
        <is>
          <t>Tier_Ladder          positioning reference (descriptive, not calculated)</t>
        </is>
      </c>
    </row>
    <row r="19">
      <c r="A19" t="inlineStr"/>
    </row>
    <row r="20">
      <c r="A20" s="2" t="inlineStr">
        <is>
          <t>WHAT CHANGED vs THE SOURCE</t>
        </is>
      </c>
    </row>
    <row r="21">
      <c r="A21" t="inlineStr">
        <is>
          <t>1. PRSI is an input. The source hardcodes 4.2% but notes it rises to 4.35% from 10/2026.</t>
        </is>
      </c>
    </row>
    <row r="22">
      <c r="A22" t="inlineStr">
        <is>
          <t>2. Corporate tax applies the Slovak banded rate (10% at or below the revenue threshold, else 21%),</t>
        </is>
      </c>
    </row>
    <row r="23">
      <c r="A23" t="inlineStr">
        <is>
          <t xml:space="preserve">   matching Venture_Financial_Model.xlsx. The source applied a flat 21% to every year.</t>
        </is>
      </c>
    </row>
    <row r="24">
      <c r="A24" t="inlineStr">
        <is>
          <t>3. Exit_Value 'Years of target' is computed. The source stored 5.2 / 8.8 / 15.1 where the arithmetic</t>
        </is>
      </c>
    </row>
    <row r="25">
      <c r="A25" t="inlineStr">
        <is>
          <t xml:space="preserve">   gives 5.25 / 8.75 / 15.14 (one cell stored as 8.800000000000001 — hand-typed, not computed).</t>
        </is>
      </c>
    </row>
    <row r="26">
      <c r="A26" t="inlineStr">
        <is>
          <t>4. Sector_Scoring_v2 adds Reversibility: how much committed capital survives failure. The dossier's</t>
        </is>
      </c>
    </row>
    <row r="27">
      <c r="A27" t="inlineStr">
        <is>
          <t xml:space="preserve">   six criteria have no measure of capital at risk before revenue, which is why its sheet ranks the</t>
        </is>
      </c>
    </row>
    <row r="28">
      <c r="A28" t="inlineStr">
        <is>
          <t xml:space="preserve">   EUR600k bakery #1 while Addendum A rejects it. With Reversibility weighted, the ranking inverts.</t>
        </is>
      </c>
    </row>
    <row r="29">
      <c r="A29" s="2" t="inlineStr">
        <is>
          <t>5. Funding_Portfolio: Regionalny prispevok is Include?=0 - its 05/10/2026 call lapsed. Excluding it</t>
        </is>
      </c>
    </row>
    <row r="30">
      <c r="A30" t="inlineStr">
        <is>
          <t xml:space="preserve">   moves P(at least one) from 99.99% to 99.98%, but removes a leg of the old cheapest trio.</t>
        </is>
      </c>
    </row>
    <row r="31">
      <c r="A31" t="inlineStr">
        <is>
          <t xml:space="preserve">   Do NOT replace it with SZRB + SIH NDF III: SZRB lends under the NDF III guarantee, so they are</t>
        </is>
      </c>
    </row>
    <row r="32">
      <c r="A32" t="inlineStr">
        <is>
          <t xml:space="preserve">   one mechanism. Independent trio: microloan + LEO Feasibility + LEADER = 93.6%.</t>
        </is>
      </c>
    </row>
    <row r="33">
      <c r="A33" s="2" t="inlineStr">
        <is>
          <t>6. DEPRECIATION IS CORRECTED. The source charges a flat 20,000 from 2028, i.e. 160,000/8 - but the</t>
        </is>
      </c>
    </row>
    <row r="34">
      <c r="A34" t="inlineStr">
        <is>
          <t xml:space="preserve">   40,000 racking is not bought until 2029, so it depreciates an asset a year before purchase.</t>
        </is>
      </c>
    </row>
    <row r="35">
      <c r="A35" t="inlineStr">
        <is>
          <t xml:space="preserve">   Charged as incurred: 2028 = 15,000, 2029 onwards = 20,000. Effect: 2028 PBT is 19,280, not</t>
        </is>
      </c>
    </row>
    <row r="36">
      <c r="A36" t="inlineStr">
        <is>
          <t xml:space="preserve">   14,280. Immaterial to any gate, but a live model should be right. Set the racking capex to 0</t>
        </is>
      </c>
    </row>
    <row r="37">
      <c r="A37" t="inlineStr">
        <is>
          <t xml:space="preserve">   and the 2029 step disappears - which is the point of having inputs.</t>
        </is>
      </c>
    </row>
    <row r="38">
      <c r="A38" t="inlineStr"/>
    </row>
    <row r="39">
      <c r="A39" t="inlineStr">
        <is>
          <t>Tags: (F) fact from a source · (R) reasoned estimate · (O) opinion/assumption.</t>
        </is>
      </c>
    </row>
    <row r="40">
      <c r="A40" t="inlineStr">
        <is>
          <t>Model numbers are (O) planning assumptions unless a source is cited.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78" customWidth="1" min="4" max="4"/>
  </cols>
  <sheetData>
    <row r="1">
      <c r="A1" s="1" t="inlineStr">
        <is>
          <t>Assumptions — yellow cells are inputs</t>
        </is>
      </c>
    </row>
    <row r="2">
      <c r="A2" s="3" t="inlineStr">
        <is>
          <t>Change an input and every other sheet recalculates.</t>
        </is>
      </c>
    </row>
    <row r="4">
      <c r="A4" s="4" t="inlineStr">
        <is>
          <t>Parameter</t>
        </is>
      </c>
      <c r="B4" s="4" t="inlineStr">
        <is>
          <t>Value</t>
        </is>
      </c>
      <c r="C4" s="4" t="inlineStr">
        <is>
          <t>Unit</t>
        </is>
      </c>
      <c r="D4" s="4" t="inlineStr">
        <is>
          <t>Source / note</t>
        </is>
      </c>
    </row>
    <row r="5">
      <c r="A5" s="5" t="inlineStr">
        <is>
          <t>PERSONAL TAX (Ireland)</t>
        </is>
      </c>
      <c r="B5" s="6" t="n"/>
      <c r="C5" s="6" t="n"/>
      <c r="D5" s="6" t="n"/>
    </row>
    <row r="6">
      <c r="A6" s="7" t="inlineStr">
        <is>
          <t>Irish income tax — higher rate</t>
        </is>
      </c>
      <c r="B6" s="8" t="n">
        <v>0.4</v>
      </c>
      <c r="C6" s="7" t="inlineStr">
        <is>
          <t>%</t>
        </is>
      </c>
      <c r="D6" s="7" t="inlineStr">
        <is>
          <t>(F) 2026 higher rate</t>
        </is>
      </c>
    </row>
    <row r="7">
      <c r="A7" s="7" t="inlineStr">
        <is>
          <t>USC — top band</t>
        </is>
      </c>
      <c r="B7" s="8" t="n">
        <v>0.08</v>
      </c>
      <c r="C7" s="7" t="inlineStr">
        <is>
          <t>%</t>
        </is>
      </c>
      <c r="D7" s="7" t="inlineStr">
        <is>
          <t>(F)</t>
        </is>
      </c>
    </row>
    <row r="8">
      <c r="A8" s="7" t="inlineStr">
        <is>
          <t>PRSI</t>
        </is>
      </c>
      <c r="B8" s="8" t="n">
        <v>0.042</v>
      </c>
      <c r="C8" s="7" t="inlineStr">
        <is>
          <t>%</t>
        </is>
      </c>
      <c r="D8" s="7" t="inlineStr">
        <is>
          <t>(F) 4.2%; rises to 4.35% from 10/2026 — change this cell then</t>
        </is>
      </c>
    </row>
    <row r="9">
      <c r="A9" s="7" t="inlineStr">
        <is>
          <t>Slovak dividend withholding (credited)</t>
        </is>
      </c>
      <c r="B9" s="8" t="n">
        <v>0.07000000000000001</v>
      </c>
      <c r="C9" s="7" t="inlineStr">
        <is>
          <t>%</t>
        </is>
      </c>
      <c r="D9" s="7" t="inlineStr">
        <is>
          <t>(F) treaty credit against Irish liability</t>
        </is>
      </c>
    </row>
    <row r="10">
      <c r="A10" s="5" t="inlineStr">
        <is>
          <t>TARGET &amp; OWNERSHIP</t>
        </is>
      </c>
      <c r="B10" s="6" t="n"/>
      <c r="C10" s="6" t="n"/>
      <c r="D10" s="6" t="n"/>
    </row>
    <row r="11">
      <c r="A11" s="7" t="inlineStr">
        <is>
          <t>Target net income</t>
        </is>
      </c>
      <c r="B11" s="9" t="n">
        <v>7500</v>
      </c>
      <c r="C11" s="7" t="inlineStr">
        <is>
          <t>EUR</t>
        </is>
      </c>
      <c r="D11" s="7" t="inlineStr">
        <is>
          <t>(F) your stated goal, per month</t>
        </is>
      </c>
    </row>
    <row r="12">
      <c r="A12" s="7" t="inlineStr">
        <is>
          <t>Your ownership</t>
        </is>
      </c>
      <c r="B12" s="8" t="n">
        <v>1</v>
      </c>
      <c r="C12" s="7" t="inlineStr">
        <is>
          <t>%</t>
        </is>
      </c>
      <c r="D12" s="7" t="inlineStr">
        <is>
          <t>(O) 100% asset-light; original plan assumed 70%</t>
        </is>
      </c>
    </row>
    <row r="13">
      <c r="A13" s="7" t="inlineStr">
        <is>
          <t>Dividend payout ratio</t>
        </is>
      </c>
      <c r="B13" s="8" t="n">
        <v>0.9</v>
      </c>
      <c r="C13" s="7" t="inlineStr">
        <is>
          <t>%</t>
        </is>
      </c>
      <c r="D13" s="7" t="inlineStr">
        <is>
          <t>(O) 10% retained</t>
        </is>
      </c>
    </row>
    <row r="14">
      <c r="A14" s="5" t="inlineStr">
        <is>
          <t>COMPANY TAX (Slovakia)</t>
        </is>
      </c>
      <c r="B14" s="6" t="n"/>
      <c r="C14" s="6" t="n"/>
      <c r="D14" s="6" t="n"/>
    </row>
    <row r="15">
      <c r="A15" s="7" t="inlineStr">
        <is>
          <t>Corporate tax — low rate</t>
        </is>
      </c>
      <c r="B15" s="8" t="n">
        <v>0.1</v>
      </c>
      <c r="C15" s="7" t="inlineStr">
        <is>
          <t>%</t>
        </is>
      </c>
      <c r="D15" s="7" t="inlineStr">
        <is>
          <t>(R) SK CIT 10% for revenue &lt;= threshold — confirm with accountant</t>
        </is>
      </c>
    </row>
    <row r="16">
      <c r="A16" s="7" t="inlineStr">
        <is>
          <t>Low-rate revenue threshold</t>
        </is>
      </c>
      <c r="B16" s="9" t="n">
        <v>100000</v>
      </c>
      <c r="C16" s="7" t="inlineStr">
        <is>
          <t>EUR</t>
        </is>
      </c>
      <c r="D16" s="7" t="inlineStr">
        <is>
          <t>(R)</t>
        </is>
      </c>
    </row>
    <row r="17">
      <c r="A17" s="7" t="inlineStr">
        <is>
          <t>Corporate tax — standard rate</t>
        </is>
      </c>
      <c r="B17" s="8" t="n">
        <v>0.21</v>
      </c>
      <c r="C17" s="7" t="inlineStr">
        <is>
          <t>%</t>
        </is>
      </c>
      <c r="D17" s="7" t="inlineStr">
        <is>
          <t>(R) 21%; 24% only above EUR5m revenue</t>
        </is>
      </c>
    </row>
    <row r="18">
      <c r="A18" s="5" t="inlineStr">
        <is>
          <t>OPERATIONS</t>
        </is>
      </c>
      <c r="B18" s="6" t="n"/>
      <c r="C18" s="6" t="n"/>
      <c r="D18" s="6" t="n"/>
    </row>
    <row r="19">
      <c r="A19" s="7" t="inlineStr">
        <is>
          <t>Pack price</t>
        </is>
      </c>
      <c r="B19" s="10" t="n">
        <v>28</v>
      </c>
      <c r="C19" s="7" t="inlineStr">
        <is>
          <t>EUR</t>
        </is>
      </c>
      <c r="D19" s="7" t="inlineStr">
        <is>
          <t>(R) LOAD-BEARING and UNVERIFIED. Output of the 'Cost the Pack' sprint</t>
        </is>
      </c>
    </row>
    <row r="20">
      <c r="A20" s="7" t="inlineStr">
        <is>
          <t>Capex — container kitting line</t>
        </is>
      </c>
      <c r="B20" s="9" t="n">
        <v>120000</v>
      </c>
      <c r="C20" s="7" t="inlineStr">
        <is>
          <t>EUR</t>
        </is>
      </c>
      <c r="D20" s="7" t="inlineStr">
        <is>
          <t>(F, Addendum A) 2028</t>
        </is>
      </c>
    </row>
    <row r="21">
      <c r="A21" s="7" t="inlineStr">
        <is>
          <t>Capex — racking + WMS</t>
        </is>
      </c>
      <c r="B21" s="9" t="n">
        <v>40000</v>
      </c>
      <c r="C21" s="7" t="inlineStr">
        <is>
          <t>EUR</t>
        </is>
      </c>
      <c r="D21" s="7" t="inlineStr">
        <is>
          <t>(F, Addendum A) 2029</t>
        </is>
      </c>
    </row>
    <row r="22">
      <c r="A22" s="7" t="inlineStr">
        <is>
          <t>Depreciation period</t>
        </is>
      </c>
      <c r="B22" s="11" t="n">
        <v>8</v>
      </c>
      <c r="C22" s="7" t="inlineStr"/>
      <c r="D22" s="7" t="inlineStr">
        <is>
          <t>(O) straight line, years</t>
        </is>
      </c>
    </row>
    <row r="23">
      <c r="A23" s="7" t="inlineStr">
        <is>
          <t>Grant released to income (per yr)</t>
        </is>
      </c>
      <c r="B23" s="9" t="n">
        <v>10000</v>
      </c>
      <c r="C23" s="7" t="inlineStr">
        <is>
          <t>EUR</t>
        </is>
      </c>
      <c r="D23" s="7" t="inlineStr">
        <is>
          <t>(O) from 2028</t>
        </is>
      </c>
    </row>
    <row r="24">
      <c r="A24" s="5" t="inlineStr">
        <is>
          <t>EXIT</t>
        </is>
      </c>
      <c r="B24" s="6" t="n"/>
      <c r="C24" s="6" t="n"/>
      <c r="D24" s="6" t="n"/>
    </row>
    <row r="25">
      <c r="A25" s="7" t="inlineStr">
        <is>
          <t>EBITDA multiple at exit</t>
        </is>
      </c>
      <c r="B25" s="11" t="n">
        <v>5</v>
      </c>
      <c r="C25" s="7" t="inlineStr"/>
      <c r="D25" s="7" t="inlineStr">
        <is>
          <t>(O) small-company trade sale</t>
        </is>
      </c>
    </row>
    <row r="26">
      <c r="A26" s="7" t="inlineStr">
        <is>
          <t>Irish CGT — Entrepreneur Relief rate</t>
        </is>
      </c>
      <c r="B26" s="8" t="n">
        <v>0.1</v>
      </c>
      <c r="C26" s="7" t="inlineStr">
        <is>
          <t>%</t>
        </is>
      </c>
      <c r="D26" s="7" t="inlineStr">
        <is>
          <t>(F) Revised ER, from 01/01/2026</t>
        </is>
      </c>
    </row>
    <row r="27">
      <c r="A27" s="7" t="inlineStr">
        <is>
          <t>Entrepreneur Relief lifetime limit</t>
        </is>
      </c>
      <c r="B27" s="9" t="n">
        <v>1500000</v>
      </c>
      <c r="C27" s="7" t="inlineStr">
        <is>
          <t>EUR</t>
        </is>
      </c>
      <c r="D27" s="7" t="inlineStr">
        <is>
          <t>(F) raised from EUR1m in Budget 2026</t>
        </is>
      </c>
    </row>
    <row r="28">
      <c r="A28" s="7" t="inlineStr">
        <is>
          <t>Irish CGT — standard rate above limit</t>
        </is>
      </c>
      <c r="B28" s="8" t="n">
        <v>0.33</v>
      </c>
      <c r="C28" s="7" t="inlineStr">
        <is>
          <t>%</t>
        </is>
      </c>
      <c r="D28" s="7" t="inlineStr">
        <is>
          <t>(F)</t>
        </is>
      </c>
    </row>
    <row r="30">
      <c r="A30" s="12" t="inlineStr">
        <is>
          <t>Irish marginal rate (computed)</t>
        </is>
      </c>
      <c r="B30" s="13">
        <f>Assumptions!$B$6+Assumptions!$B$7+Assumptions!$B$8</f>
        <v/>
      </c>
      <c r="D30" s="7" t="inlineStr">
        <is>
          <t>(F) sum of the three bands; Slovak 7% is credited, not added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26" customWidth="1" min="4" max="4"/>
    <col width="62" customWidth="1" min="5" max="5"/>
  </cols>
  <sheetData>
    <row r="1">
      <c r="A1" s="1" t="inlineStr">
        <is>
          <t>Income bridge — the Irish tax correction</t>
        </is>
      </c>
    </row>
    <row r="2">
      <c r="A2" s="3" t="inlineStr">
        <is>
          <t>THE key sheet of Addendum A. Verify with an Irish chartered tax adviser before acting.</t>
        </is>
      </c>
    </row>
    <row r="4">
      <c r="A4" s="4" t="inlineStr">
        <is>
          <t>Step</t>
        </is>
      </c>
      <c r="B4" s="4" t="inlineStr">
        <is>
          <t>Model as written (7% SK)</t>
        </is>
      </c>
      <c r="C4" s="4" t="inlineStr">
        <is>
          <t>Reality: Irish-resident</t>
        </is>
      </c>
      <c r="D4" s="4" t="inlineStr">
        <is>
          <t>Irish-resident, your ownership</t>
        </is>
      </c>
      <c r="E4" s="4" t="inlineStr">
        <is>
          <t>Note</t>
        </is>
      </c>
    </row>
    <row r="5">
      <c r="A5" s="7" t="inlineStr">
        <is>
          <t>Target net income per year</t>
        </is>
      </c>
      <c r="B5" s="14">
        <f>Assumptions!$B$11*12</f>
        <v/>
      </c>
      <c r="C5" s="14">
        <f>Assumptions!$B$11*12</f>
        <v/>
      </c>
      <c r="D5" s="14">
        <f>Assumptions!$B$11*12</f>
        <v/>
      </c>
      <c r="E5" s="7" t="inlineStr">
        <is>
          <t>your goal x 12</t>
        </is>
      </c>
    </row>
    <row r="6">
      <c r="A6" s="7" t="inlineStr">
        <is>
          <t>Gross dividend needed</t>
        </is>
      </c>
      <c r="B6" s="14">
        <f>B5/(1-Assumptions!$B$9)</f>
        <v/>
      </c>
      <c r="C6" s="14">
        <f>C5/(1-Assumptions!$B$30)</f>
        <v/>
      </c>
      <c r="D6" s="14">
        <f>D5/(1-Assumptions!$B$30)</f>
        <v/>
      </c>
      <c r="E6" s="7" t="inlineStr">
        <is>
          <t>personal tax on the dividend</t>
        </is>
      </c>
    </row>
    <row r="7">
      <c r="A7" s="7" t="inlineStr">
        <is>
          <t>/ your ownership</t>
        </is>
      </c>
      <c r="B7" s="14">
        <f>B6/0.7</f>
        <v/>
      </c>
      <c r="C7" s="14">
        <f>C6/0.7</f>
        <v/>
      </c>
      <c r="D7" s="14">
        <f>D6/Assumptions!$B$12</f>
        <v/>
      </c>
      <c r="E7" s="7" t="inlineStr">
        <is>
          <t>70% in the original plan; the 4th column uses your Assumptions input</t>
        </is>
      </c>
    </row>
    <row r="8">
      <c r="A8" s="7" t="inlineStr">
        <is>
          <t>/ payout ratio</t>
        </is>
      </c>
      <c r="B8" s="14">
        <f>B7/Assumptions!$B$13</f>
        <v/>
      </c>
      <c r="C8" s="14">
        <f>C7/Assumptions!$B$13</f>
        <v/>
      </c>
      <c r="D8" s="14">
        <f>D7/Assumptions!$B$13</f>
        <v/>
      </c>
      <c r="E8" s="7" t="inlineStr">
        <is>
          <t>10% retained</t>
        </is>
      </c>
    </row>
    <row r="9">
      <c r="A9" s="12" t="inlineStr">
        <is>
          <t>PROFIT BEFORE TAX NEEDED</t>
        </is>
      </c>
      <c r="B9" s="15">
        <f>B8/(1-Assumptions!$B$17)</f>
        <v/>
      </c>
      <c r="C9" s="15">
        <f>C8/(1-Assumptions!$B$17)</f>
        <v/>
      </c>
      <c r="D9" s="15">
        <f>D8/(1-Assumptions!$B$17)</f>
        <v/>
      </c>
      <c r="E9" s="7" t="inlineStr">
        <is>
          <t>at the Slovak standard corporate rate</t>
        </is>
      </c>
    </row>
    <row r="10">
      <c r="A10" s="7" t="inlineStr">
        <is>
          <t>Revenue needed at 8% pre-tax margin</t>
        </is>
      </c>
      <c r="B10" s="14">
        <f>B9/0.08</f>
        <v/>
      </c>
      <c r="C10" s="14">
        <f>C9/0.08</f>
        <v/>
      </c>
      <c r="D10" s="14">
        <f>D9/0.08</f>
        <v/>
      </c>
      <c r="E10" s="7" t="inlineStr">
        <is>
          <t>(R)</t>
        </is>
      </c>
    </row>
    <row r="11">
      <c r="A11" s="7" t="inlineStr">
        <is>
          <t>Revenue needed at 12% pre-tax margin</t>
        </is>
      </c>
      <c r="B11" s="14">
        <f>B9/0.12</f>
        <v/>
      </c>
      <c r="C11" s="14">
        <f>C9/0.12</f>
        <v/>
      </c>
      <c r="D11" s="14">
        <f>D9/0.12</f>
        <v/>
      </c>
      <c r="E11" s="7" t="inlineStr">
        <is>
          <t>(R)</t>
        </is>
      </c>
    </row>
    <row r="12">
      <c r="A12" s="7" t="inlineStr">
        <is>
          <t>Revenue needed at 20% pre-tax margin</t>
        </is>
      </c>
      <c r="B12" s="14">
        <f>B9/0.2</f>
        <v/>
      </c>
      <c r="C12" s="14">
        <f>C9/0.2</f>
        <v/>
      </c>
      <c r="D12" s="14">
        <f>D9/0.2</f>
        <v/>
      </c>
      <c r="E12" s="7" t="inlineStr">
        <is>
          <t>(R)</t>
        </is>
      </c>
    </row>
    <row r="14">
      <c r="A14" s="12" t="inlineStr">
        <is>
          <t>Irish marginal rate build-up</t>
        </is>
      </c>
    </row>
    <row r="15">
      <c r="A15" s="7" t="inlineStr">
        <is>
          <t>Income tax</t>
        </is>
      </c>
      <c r="B15" s="16">
        <f>Assumptions!$B$6</f>
        <v/>
      </c>
    </row>
    <row r="16">
      <c r="A16" s="7" t="inlineStr">
        <is>
          <t>USC</t>
        </is>
      </c>
      <c r="B16" s="16">
        <f>Assumptions!$B$7</f>
        <v/>
      </c>
    </row>
    <row r="17">
      <c r="A17" s="7" t="inlineStr">
        <is>
          <t>PRSI</t>
        </is>
      </c>
      <c r="B17" s="16">
        <f>Assumptions!$B$8</f>
        <v/>
      </c>
    </row>
    <row r="18">
      <c r="A18" s="12" t="inlineStr">
        <is>
          <t>Total marginal rate</t>
        </is>
      </c>
      <c r="B18" s="13">
        <f>Assumptions!$B$30</f>
        <v/>
      </c>
      <c r="E18" s="7" t="inlineStr">
        <is>
          <t>credit given for the 7% Slovak withholding (F, treaty)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P&amp;L — asset-light (kitting-first) business</t>
        </is>
      </c>
    </row>
    <row r="2">
      <c r="A2" s="3" t="inlineStr">
        <is>
          <t>Revenue lines are inputs (yellow). Everything below Gross profit is calculated.</t>
        </is>
      </c>
    </row>
    <row r="4">
      <c r="A4" s="4" t="inlineStr">
        <is>
          <t>Line</t>
        </is>
      </c>
      <c r="B4" s="4" t="inlineStr">
        <is>
          <t>2027</t>
        </is>
      </c>
      <c r="C4" s="4" t="inlineStr">
        <is>
          <t>2028</t>
        </is>
      </c>
      <c r="D4" s="4" t="inlineStr">
        <is>
          <t>2029</t>
        </is>
      </c>
      <c r="E4" s="4" t="inlineStr">
        <is>
          <t>2030</t>
        </is>
      </c>
      <c r="F4" s="4" t="inlineStr">
        <is>
          <t>2031</t>
        </is>
      </c>
    </row>
    <row r="5">
      <c r="A5" s="7" t="inlineStr">
        <is>
          <t>Revenue — brokerage (Tier 0)</t>
        </is>
      </c>
      <c r="B5" s="17" t="n">
        <v>150000</v>
      </c>
      <c r="C5" s="17" t="n">
        <v>200000</v>
      </c>
      <c r="D5" s="17" t="n">
        <v>150000</v>
      </c>
      <c r="E5" s="17" t="n">
        <v>120000</v>
      </c>
      <c r="F5" s="17" t="n">
        <v>100000</v>
      </c>
    </row>
    <row r="6">
      <c r="A6" s="7" t="inlineStr">
        <is>
          <t>Revenue — kitting (Tier 1)</t>
        </is>
      </c>
      <c r="B6" s="17" t="n">
        <v>0</v>
      </c>
      <c r="C6" s="17" t="n">
        <v>380000</v>
      </c>
      <c r="D6" s="17" t="n">
        <v>950000</v>
      </c>
      <c r="E6" s="17" t="n">
        <v>1600000</v>
      </c>
      <c r="F6" s="17" t="n">
        <v>2100000</v>
      </c>
    </row>
    <row r="7">
      <c r="A7" s="7" t="inlineStr">
        <is>
          <t>Revenue — reserve service (Tier 2)</t>
        </is>
      </c>
      <c r="B7" s="17" t="n">
        <v>0</v>
      </c>
      <c r="C7" s="17" t="n">
        <v>40000</v>
      </c>
      <c r="D7" s="17" t="n">
        <v>120000</v>
      </c>
      <c r="E7" s="17" t="n">
        <v>260000</v>
      </c>
      <c r="F7" s="17" t="n">
        <v>420000</v>
      </c>
    </row>
    <row r="8">
      <c r="A8" s="7" t="inlineStr">
        <is>
          <t>Revenue — software (LEANTA)</t>
        </is>
      </c>
      <c r="B8" s="17" t="n">
        <v>12000</v>
      </c>
      <c r="C8" s="17" t="n">
        <v>48000</v>
      </c>
      <c r="D8" s="17" t="n">
        <v>96000</v>
      </c>
      <c r="E8" s="17" t="n">
        <v>144000</v>
      </c>
      <c r="F8" s="17" t="n">
        <v>180000</v>
      </c>
    </row>
    <row r="9">
      <c r="A9" s="12" t="inlineStr">
        <is>
          <t>TOTAL REVENUE</t>
        </is>
      </c>
      <c r="B9" s="15">
        <f>SUM(B5:B8)</f>
        <v/>
      </c>
      <c r="C9" s="15">
        <f>SUM(C5:C8)</f>
        <v/>
      </c>
      <c r="D9" s="15">
        <f>SUM(D5:D8)</f>
        <v/>
      </c>
      <c r="E9" s="15">
        <f>SUM(E5:E8)</f>
        <v/>
      </c>
      <c r="F9" s="15">
        <f>SUM(F5:F8)</f>
        <v/>
      </c>
    </row>
    <row r="10">
      <c r="A10" s="7" t="inlineStr">
        <is>
          <t>Gross margin %</t>
        </is>
      </c>
      <c r="B10" s="18" t="n">
        <v>0.13</v>
      </c>
      <c r="C10" s="18" t="n">
        <v>0.21</v>
      </c>
      <c r="D10" s="18" t="n">
        <v>0.25</v>
      </c>
      <c r="E10" s="18" t="n">
        <v>0.27</v>
      </c>
      <c r="F10" s="18" t="n">
        <v>0.28</v>
      </c>
    </row>
    <row r="11">
      <c r="A11" s="7" t="inlineStr">
        <is>
          <t>Gross profit</t>
        </is>
      </c>
      <c r="B11" s="14">
        <f>B9*B10</f>
        <v/>
      </c>
      <c r="C11" s="14">
        <f>C9*C10</f>
        <v/>
      </c>
      <c r="D11" s="14">
        <f>D9*D10</f>
        <v/>
      </c>
      <c r="E11" s="14">
        <f>E9*E10</f>
        <v/>
      </c>
      <c r="F11" s="14">
        <f>F9*F10</f>
        <v/>
      </c>
    </row>
    <row r="12">
      <c r="A12" s="7" t="inlineStr">
        <is>
          <t>Fixed overheads</t>
        </is>
      </c>
      <c r="B12" s="17" t="n">
        <v>28000</v>
      </c>
      <c r="C12" s="17" t="n">
        <v>110000</v>
      </c>
      <c r="D12" s="17" t="n">
        <v>190000</v>
      </c>
      <c r="E12" s="17" t="n">
        <v>280000</v>
      </c>
      <c r="F12" s="17" t="n">
        <v>350000</v>
      </c>
    </row>
    <row r="13">
      <c r="A13" s="12" t="inlineStr">
        <is>
          <t>EBITDA</t>
        </is>
      </c>
      <c r="B13" s="15">
        <f>B11-B12</f>
        <v/>
      </c>
      <c r="C13" s="15">
        <f>C11-C12</f>
        <v/>
      </c>
      <c r="D13" s="15">
        <f>D11-D12</f>
        <v/>
      </c>
      <c r="E13" s="15">
        <f>E11-E12</f>
        <v/>
      </c>
      <c r="F13" s="15">
        <f>F11-F12</f>
        <v/>
      </c>
    </row>
    <row r="14">
      <c r="A14" s="7" t="inlineStr">
        <is>
          <t>Depreciation</t>
        </is>
      </c>
      <c r="B14" s="14" t="inlineStr">
        <is>
          <t>0</t>
        </is>
      </c>
      <c r="C14" s="14">
        <f>Assumptions!$B$20/Assumptions!$B$22</f>
        <v/>
      </c>
      <c r="D14" s="14">
        <f>(Assumptions!$B$20+Assumptions!$B$21)/Assumptions!$B$22</f>
        <v/>
      </c>
      <c r="E14" s="14">
        <f>(Assumptions!$B$20+Assumptions!$B$21)/Assumptions!$B$22</f>
        <v/>
      </c>
      <c r="F14" s="14">
        <f>(Assumptions!$B$20+Assumptions!$B$21)/Assumptions!$B$22</f>
        <v/>
      </c>
    </row>
    <row r="15">
      <c r="A15" s="7" t="inlineStr">
        <is>
          <t>Grant released to income</t>
        </is>
      </c>
      <c r="B15" s="14" t="inlineStr">
        <is>
          <t>0</t>
        </is>
      </c>
      <c r="C15" s="14">
        <f>Assumptions!$B$23</f>
        <v/>
      </c>
      <c r="D15" s="14">
        <f>Assumptions!$B$23</f>
        <v/>
      </c>
      <c r="E15" s="14">
        <f>Assumptions!$B$23</f>
        <v/>
      </c>
      <c r="F15" s="14">
        <f>Assumptions!$B$23</f>
        <v/>
      </c>
    </row>
    <row r="16">
      <c r="A16" s="7" t="inlineStr">
        <is>
          <t>Interest</t>
        </is>
      </c>
      <c r="B16" s="17" t="n">
        <v>0</v>
      </c>
      <c r="C16" s="17" t="n">
        <v>6000</v>
      </c>
      <c r="D16" s="17" t="n">
        <v>6000</v>
      </c>
      <c r="E16" s="17" t="n">
        <v>5000</v>
      </c>
      <c r="F16" s="17" t="n">
        <v>4000</v>
      </c>
    </row>
    <row r="17">
      <c r="A17" s="12" t="inlineStr">
        <is>
          <t>PROFIT BEFORE TAX</t>
        </is>
      </c>
      <c r="B17" s="15">
        <f>B13-B14+B15-B16</f>
        <v/>
      </c>
      <c r="C17" s="15">
        <f>C13-C14+C15-C16</f>
        <v/>
      </c>
      <c r="D17" s="15">
        <f>D13-D14+D15-D16</f>
        <v/>
      </c>
      <c r="E17" s="15">
        <f>E13-E14+E15-E16</f>
        <v/>
      </c>
      <c r="F17" s="15">
        <f>F13-F14+F15-F16</f>
        <v/>
      </c>
    </row>
    <row r="18">
      <c r="A18" s="7" t="inlineStr">
        <is>
          <t>Corporate tax</t>
        </is>
      </c>
      <c r="B18" s="14">
        <f>IF(B17&lt;=0,0,B17*IF(B9&lt;=Assumptions!$B$16,Assumptions!$B$15,Assumptions!$B$17))</f>
        <v/>
      </c>
      <c r="C18" s="14">
        <f>IF(C17&lt;=0,0,C17*IF(C9&lt;=Assumptions!$B$16,Assumptions!$B$15,Assumptions!$B$17))</f>
        <v/>
      </c>
      <c r="D18" s="14">
        <f>IF(D17&lt;=0,0,D17*IF(D9&lt;=Assumptions!$B$16,Assumptions!$B$15,Assumptions!$B$17))</f>
        <v/>
      </c>
      <c r="E18" s="14">
        <f>IF(E17&lt;=0,0,E17*IF(E9&lt;=Assumptions!$B$16,Assumptions!$B$15,Assumptions!$B$17))</f>
        <v/>
      </c>
      <c r="F18" s="14">
        <f>IF(F17&lt;=0,0,F17*IF(F9&lt;=Assumptions!$B$16,Assumptions!$B$15,Assumptions!$B$17))</f>
        <v/>
      </c>
    </row>
    <row r="19">
      <c r="A19" s="12" t="inlineStr">
        <is>
          <t>Net profit</t>
        </is>
      </c>
      <c r="B19" s="15">
        <f>B17-B18</f>
        <v/>
      </c>
      <c r="C19" s="15">
        <f>C17-C18</f>
        <v/>
      </c>
      <c r="D19" s="15">
        <f>D17-D18</f>
        <v/>
      </c>
      <c r="E19" s="15">
        <f>E17-E18</f>
        <v/>
      </c>
      <c r="F19" s="15">
        <f>F17-F18</f>
        <v/>
      </c>
    </row>
    <row r="20">
      <c r="A20" s="12" t="inlineStr">
        <is>
          <t>Your net income / month (Irish-resident)</t>
        </is>
      </c>
      <c r="B20" s="15">
        <f>MAX(0,B19)*Assumptions!$B$13*Assumptions!$B$12*(1-Assumptions!$B$30)/12</f>
        <v/>
      </c>
      <c r="C20" s="15">
        <f>MAX(0,C19)*Assumptions!$B$13*Assumptions!$B$12*(1-Assumptions!$B$30)/12</f>
        <v/>
      </c>
      <c r="D20" s="15">
        <f>MAX(0,D19)*Assumptions!$B$13*Assumptions!$B$12*(1-Assumptions!$B$30)/12</f>
        <v/>
      </c>
      <c r="E20" s="15">
        <f>MAX(0,E19)*Assumptions!$B$13*Assumptions!$B$12*(1-Assumptions!$B$30)/12</f>
        <v/>
      </c>
      <c r="F20" s="15">
        <f>MAX(0,F19)*Assumptions!$B$13*Assumptions!$B$12*(1-Assumptions!$B$30)/12</f>
        <v/>
      </c>
    </row>
    <row r="21">
      <c r="A21" s="7" t="inlineStr">
        <is>
          <t>Gap to target</t>
        </is>
      </c>
      <c r="B21" s="14">
        <f>B20-Assumptions!$B$11</f>
        <v/>
      </c>
      <c r="C21" s="14">
        <f>C20-Assumptions!$B$11</f>
        <v/>
      </c>
      <c r="D21" s="14">
        <f>D20-Assumptions!$B$11</f>
        <v/>
      </c>
      <c r="E21" s="14">
        <f>E20-Assumptions!$B$11</f>
        <v/>
      </c>
      <c r="F21" s="14">
        <f>F20-Assumptions!$B$11</f>
        <v/>
      </c>
    </row>
    <row r="22">
      <c r="A22" s="7" t="inlineStr">
        <is>
          <t>Target met?</t>
        </is>
      </c>
      <c r="B22" s="19">
        <f>IF(B20&gt;=Assumptions!$B$11,"Yes","No")</f>
        <v/>
      </c>
      <c r="C22" s="19">
        <f>IF(C20&gt;=Assumptions!$B$11,"Yes","No")</f>
        <v/>
      </c>
      <c r="D22" s="19">
        <f>IF(D20&gt;=Assumptions!$B$11,"Yes","No")</f>
        <v/>
      </c>
      <c r="E22" s="19">
        <f>IF(E20&gt;=Assumptions!$B$11,"Yes","No")</f>
        <v/>
      </c>
      <c r="F22" s="19">
        <f>IF(F20&gt;=Assumptions!$B$11,"Yes","No")</f>
        <v/>
      </c>
    </row>
    <row r="24">
      <c r="A24" s="12" t="inlineStr">
        <is>
          <t>GATE 0 — 30/06/2027</t>
        </is>
      </c>
      <c r="B24" s="7" t="inlineStr">
        <is>
          <t>&gt;=EUR50k Tier 0 revenue + 1 state reference; else STOP (&lt;EUR8k spent)</t>
        </is>
      </c>
    </row>
    <row r="25">
      <c r="A25" s="12" t="inlineStr">
        <is>
          <t>GATE 1 — 31/12/2027</t>
        </is>
      </c>
      <c r="B25" s="7" t="inlineStr">
        <is>
          <t>&gt;=2 co-packing agreements + &gt;=EUR300k contracted demand + grant decision; else stay a broker</t>
        </is>
      </c>
    </row>
    <row r="26">
      <c r="A26" s="12" t="inlineStr">
        <is>
          <t>GATE 2 — 31/12/2029</t>
        </is>
      </c>
      <c r="B26" s="7" t="inlineStr">
        <is>
          <t>EBITDA &gt;= EUR100k + reserve contract signed; else sell the book, keep the software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2" customWidth="1" min="4" max="4"/>
    <col width="16" customWidth="1" min="5" max="5"/>
    <col width="14" customWidth="1" min="6" max="6"/>
    <col width="16" customWidth="1" min="7" max="7"/>
    <col width="14" customWidth="1" min="8" max="8"/>
  </cols>
  <sheetData>
    <row r="1">
      <c r="A1" s="1" t="inlineStr">
        <is>
          <t>Exit value at 10% Irish CGT (Revised Entrepreneur Relief)</t>
        </is>
      </c>
    </row>
    <row r="2">
      <c r="A2" s="3" t="inlineStr">
        <is>
          <t>(O) Compare: the same money taken as dividends while Irish-resident is taxed at the marginal rate.</t>
        </is>
      </c>
    </row>
    <row r="4">
      <c r="A4" s="4" t="inlineStr">
        <is>
          <t>EBITDA at exit</t>
        </is>
      </c>
      <c r="B4" s="4" t="inlineStr">
        <is>
          <t>Multiple</t>
        </is>
      </c>
      <c r="C4" s="4" t="inlineStr">
        <is>
          <t>Enterprise value</t>
        </is>
      </c>
      <c r="D4" s="4" t="inlineStr">
        <is>
          <t>Ownership</t>
        </is>
      </c>
      <c r="E4" s="4" t="inlineStr">
        <is>
          <t>Your share</t>
        </is>
      </c>
      <c r="F4" s="4" t="inlineStr">
        <is>
          <t>CGT</t>
        </is>
      </c>
      <c r="G4" s="4" t="inlineStr">
        <is>
          <t>Net to you</t>
        </is>
      </c>
      <c r="H4" s="4" t="inlineStr">
        <is>
          <t>Years of target</t>
        </is>
      </c>
    </row>
    <row r="5">
      <c r="A5" s="17" t="n">
        <v>150000</v>
      </c>
      <c r="B5" s="20">
        <f>Assumptions!$B$25</f>
        <v/>
      </c>
      <c r="C5" s="14">
        <f>A5*B5</f>
        <v/>
      </c>
      <c r="D5" s="18" t="n">
        <v>0.7</v>
      </c>
      <c r="E5" s="14">
        <f>C5*D5</f>
        <v/>
      </c>
      <c r="F5" s="14">
        <f>MIN(E5,Assumptions!$B$27)*Assumptions!$B$26+MAX(0,E5-Assumptions!$B$27)*Assumptions!$B$28</f>
        <v/>
      </c>
      <c r="G5" s="15">
        <f>E5-F5</f>
        <v/>
      </c>
      <c r="H5" s="20">
        <f>G5/(Assumptions!$B$11*12)</f>
        <v/>
      </c>
    </row>
    <row r="6">
      <c r="A6" s="17" t="n">
        <v>150000</v>
      </c>
      <c r="B6" s="20">
        <f>Assumptions!$B$25</f>
        <v/>
      </c>
      <c r="C6" s="14">
        <f>A6*B6</f>
        <v/>
      </c>
      <c r="D6" s="18" t="n">
        <v>1</v>
      </c>
      <c r="E6" s="14">
        <f>C6*D6</f>
        <v/>
      </c>
      <c r="F6" s="14">
        <f>MIN(E6,Assumptions!$B$27)*Assumptions!$B$26+MAX(0,E6-Assumptions!$B$27)*Assumptions!$B$28</f>
        <v/>
      </c>
      <c r="G6" s="15">
        <f>E6-F6</f>
        <v/>
      </c>
      <c r="H6" s="20">
        <f>G6/(Assumptions!$B$11*12)</f>
        <v/>
      </c>
    </row>
    <row r="7">
      <c r="A7" s="17" t="n">
        <v>250000</v>
      </c>
      <c r="B7" s="20">
        <f>Assumptions!$B$25</f>
        <v/>
      </c>
      <c r="C7" s="14">
        <f>A7*B7</f>
        <v/>
      </c>
      <c r="D7" s="18" t="n">
        <v>0.7</v>
      </c>
      <c r="E7" s="14">
        <f>C7*D7</f>
        <v/>
      </c>
      <c r="F7" s="14">
        <f>MIN(E7,Assumptions!$B$27)*Assumptions!$B$26+MAX(0,E7-Assumptions!$B$27)*Assumptions!$B$28</f>
        <v/>
      </c>
      <c r="G7" s="15">
        <f>E7-F7</f>
        <v/>
      </c>
      <c r="H7" s="20">
        <f>G7/(Assumptions!$B$11*12)</f>
        <v/>
      </c>
    </row>
    <row r="8">
      <c r="A8" s="17" t="n">
        <v>250000</v>
      </c>
      <c r="B8" s="20">
        <f>Assumptions!$B$25</f>
        <v/>
      </c>
      <c r="C8" s="14">
        <f>A8*B8</f>
        <v/>
      </c>
      <c r="D8" s="18" t="n">
        <v>1</v>
      </c>
      <c r="E8" s="14">
        <f>C8*D8</f>
        <v/>
      </c>
      <c r="F8" s="14">
        <f>MIN(E8,Assumptions!$B$27)*Assumptions!$B$26+MAX(0,E8-Assumptions!$B$27)*Assumptions!$B$28</f>
        <v/>
      </c>
      <c r="G8" s="15">
        <f>E8-F8</f>
        <v/>
      </c>
      <c r="H8" s="20">
        <f>G8/(Assumptions!$B$11*12)</f>
        <v/>
      </c>
    </row>
    <row r="9">
      <c r="A9" s="17" t="n">
        <v>400000</v>
      </c>
      <c r="B9" s="20">
        <f>Assumptions!$B$25</f>
        <v/>
      </c>
      <c r="C9" s="14">
        <f>A9*B9</f>
        <v/>
      </c>
      <c r="D9" s="18" t="n">
        <v>0.7</v>
      </c>
      <c r="E9" s="14">
        <f>C9*D9</f>
        <v/>
      </c>
      <c r="F9" s="14">
        <f>MIN(E9,Assumptions!$B$27)*Assumptions!$B$26+MAX(0,E9-Assumptions!$B$27)*Assumptions!$B$28</f>
        <v/>
      </c>
      <c r="G9" s="15">
        <f>E9-F9</f>
        <v/>
      </c>
      <c r="H9" s="20">
        <f>G9/(Assumptions!$B$11*12)</f>
        <v/>
      </c>
    </row>
    <row r="10">
      <c r="A10" s="17" t="n">
        <v>400000</v>
      </c>
      <c r="B10" s="20">
        <f>Assumptions!$B$25</f>
        <v/>
      </c>
      <c r="C10" s="14">
        <f>A10*B10</f>
        <v/>
      </c>
      <c r="D10" s="18" t="n">
        <v>1</v>
      </c>
      <c r="E10" s="14">
        <f>C10*D10</f>
        <v/>
      </c>
      <c r="F10" s="14">
        <f>MIN(E10,Assumptions!$B$27)*Assumptions!$B$26+MAX(0,E10-Assumptions!$B$27)*Assumptions!$B$28</f>
        <v/>
      </c>
      <c r="G10" s="15">
        <f>E10-F10</f>
        <v/>
      </c>
      <c r="H10" s="20">
        <f>G10/(Assumptions!$B$11*12)</f>
        <v/>
      </c>
    </row>
    <row r="11">
      <c r="A11" s="14">
        <f>PL_AssetLight!F13</f>
        <v/>
      </c>
      <c r="B11" s="20">
        <f>Assumptions!$B$25</f>
        <v/>
      </c>
      <c r="C11" s="14">
        <f>A11*B11</f>
        <v/>
      </c>
      <c r="D11" s="18" t="n">
        <v>0.7</v>
      </c>
      <c r="E11" s="14">
        <f>C11*D11</f>
        <v/>
      </c>
      <c r="F11" s="14">
        <f>MIN(E11,Assumptions!$B$27)*Assumptions!$B$26+MAX(0,E11-Assumptions!$B$27)*Assumptions!$B$28</f>
        <v/>
      </c>
      <c r="G11" s="15">
        <f>E11-F11</f>
        <v/>
      </c>
      <c r="H11" s="20">
        <f>G11/(Assumptions!$B$11*12)</f>
        <v/>
      </c>
    </row>
    <row r="12">
      <c r="A12" s="14">
        <f>PL_AssetLight!F13</f>
        <v/>
      </c>
      <c r="B12" s="20">
        <f>Assumptions!$B$25</f>
        <v/>
      </c>
      <c r="C12" s="14">
        <f>A12*B12</f>
        <v/>
      </c>
      <c r="D12" s="18" t="n">
        <v>1</v>
      </c>
      <c r="E12" s="14">
        <f>C12*D12</f>
        <v/>
      </c>
      <c r="F12" s="14">
        <f>MIN(E12,Assumptions!$B$27)*Assumptions!$B$26+MAX(0,E12-Assumptions!$B$27)*Assumptions!$B$28</f>
        <v/>
      </c>
      <c r="G12" s="15">
        <f>E12-F12</f>
        <v/>
      </c>
      <c r="H12" s="20">
        <f>G12/(Assumptions!$B$11*12)</f>
        <v/>
      </c>
    </row>
    <row r="14">
      <c r="A14" s="7" t="inlineStr">
        <is>
          <t>(F) Revised Entrepreneur Relief: 10% CGT, lifetime limit EUR1.5m from 01/01/2026; &gt;=5% ordinary shares; director/employee &gt;=50% of working time for 3 of the previous 5 years.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34" customWidth="1" min="3" max="3"/>
    <col width="30" customWidth="1" min="4" max="4"/>
    <col width="12" customWidth="1" min="5" max="5"/>
    <col width="10" customWidth="1" min="6" max="6"/>
    <col width="16" customWidth="1" min="7" max="7"/>
  </cols>
  <sheetData>
    <row r="1">
      <c r="A1" s="1" t="inlineStr">
        <is>
          <t>Funding portfolio — probability that at least one application succeeds</t>
        </is>
      </c>
    </row>
    <row r="2">
      <c r="A2" s="3" t="inlineStr">
        <is>
          <t>(R) Probabilities are judgement, not published statistics. Edit them; the maths follows.</t>
        </is>
      </c>
    </row>
    <row r="4">
      <c r="A4" s="4" t="inlineStr">
        <is>
          <t>#</t>
        </is>
      </c>
      <c r="B4" s="4" t="inlineStr">
        <is>
          <t>Instrument</t>
        </is>
      </c>
      <c r="C4" s="4" t="inlineStr">
        <is>
          <t>Type / size</t>
        </is>
      </c>
      <c r="D4" s="4" t="inlineStr">
        <is>
          <t>Use</t>
        </is>
      </c>
      <c r="E4" s="4" t="inlineStr">
        <is>
          <t>Success (R)</t>
        </is>
      </c>
      <c r="F4" s="4" t="inlineStr">
        <is>
          <t>Include?</t>
        </is>
      </c>
      <c r="G4" s="4" t="inlineStr">
        <is>
          <t>(1-p) if included</t>
        </is>
      </c>
    </row>
    <row r="5">
      <c r="A5" s="7" t="n">
        <v>1</v>
      </c>
      <c r="B5" s="7" t="inlineStr">
        <is>
          <t>LEO Feasibility grant (IE)</t>
        </is>
      </c>
      <c r="C5" s="7" t="inlineStr">
        <is>
          <t>grant, ~EUR15k, 50%</t>
        </is>
      </c>
      <c r="D5" s="7" t="inlineStr">
        <is>
          <t>Market study</t>
        </is>
      </c>
      <c r="E5" s="18" t="n">
        <v>0.6</v>
      </c>
      <c r="F5" s="21" t="n">
        <v>1</v>
      </c>
      <c r="G5" s="20">
        <f>IF(F5=1,1-E5,1)</f>
        <v/>
      </c>
    </row>
    <row r="6">
      <c r="A6" s="7" t="n">
        <v>2</v>
      </c>
      <c r="B6" s="7" t="inlineStr">
        <is>
          <t>LEO Priming grant (IE)</t>
        </is>
      </c>
      <c r="C6" s="7" t="inlineStr">
        <is>
          <t>50% or EUR150,000 max (F)</t>
        </is>
      </c>
      <c r="D6" s="7" t="inlineStr">
        <is>
          <t>Irish entity first-year costs</t>
        </is>
      </c>
      <c r="E6" s="18" t="n">
        <v>0.45</v>
      </c>
      <c r="F6" s="21" t="n">
        <v>1</v>
      </c>
      <c r="G6" s="20">
        <f>IF(F6=1,1-E6,1)</f>
        <v/>
      </c>
    </row>
    <row r="7">
      <c r="A7" s="7" t="n">
        <v>3</v>
      </c>
      <c r="B7" s="7" t="inlineStr">
        <is>
          <t>Enterprise Ireland / IDA defence</t>
        </is>
      </c>
      <c r="C7" s="7" t="inlineStr">
        <is>
          <t>grants/equity/loans (F, 2026 Bill)</t>
        </is>
      </c>
      <c r="D7" s="7" t="inlineStr">
        <is>
          <t>Export &amp; capability</t>
        </is>
      </c>
      <c r="E7" s="18" t="n">
        <v>0.3</v>
      </c>
      <c r="F7" s="21" t="n">
        <v>1</v>
      </c>
      <c r="G7" s="20">
        <f>IF(F7=1,1-E7,1)</f>
        <v/>
      </c>
    </row>
    <row r="8">
      <c r="A8" s="7" t="n">
        <v>4</v>
      </c>
      <c r="B8" s="7" t="inlineStr">
        <is>
          <t>Regionalny prispevok (MIRRI, RS)</t>
        </is>
      </c>
      <c r="C8" s="7" t="inlineStr">
        <is>
          <t>LAPSED 05/10/2026; next call expected 2027 (F)</t>
        </is>
      </c>
      <c r="D8" s="7" t="inlineStr">
        <is>
          <t>Kitting line, jobs</t>
        </is>
      </c>
      <c r="E8" s="18" t="n">
        <v>0.45</v>
      </c>
      <c r="F8" s="21" t="n">
        <v>0</v>
      </c>
      <c r="G8" s="20">
        <f>IF(F8=1,1-E8,1)</f>
        <v/>
      </c>
    </row>
    <row r="9">
      <c r="A9" s="7" t="n">
        <v>5</v>
      </c>
      <c r="B9" s="7" t="inlineStr">
        <is>
          <t>Just Transition Fund (BB region)</t>
        </is>
      </c>
      <c r="C9" s="7" t="inlineStr">
        <is>
          <t>MSME grants to EUR800,000 (F)</t>
        </is>
      </c>
      <c r="D9" s="7" t="inlineStr">
        <is>
          <t>Productive investment</t>
        </is>
      </c>
      <c r="E9" s="18" t="n">
        <v>0.4</v>
      </c>
      <c r="F9" s="21" t="n">
        <v>1</v>
      </c>
      <c r="G9" s="20">
        <f>IF(F9=1,1-E9,1)</f>
        <v/>
      </c>
    </row>
    <row r="10">
      <c r="A10" s="7" t="n">
        <v>6</v>
      </c>
      <c r="B10" s="7" t="inlineStr">
        <is>
          <t>PPA intervention 73.7</t>
        </is>
      </c>
      <c r="C10" s="7" t="inlineStr">
        <is>
          <t>EUR35m call (F)</t>
        </is>
      </c>
      <c r="D10" s="7" t="inlineStr">
        <is>
          <t>Tier 3 line</t>
        </is>
      </c>
      <c r="E10" s="18" t="n">
        <v>0.35</v>
      </c>
      <c r="F10" s="21" t="n">
        <v>1</v>
      </c>
      <c r="G10" s="20">
        <f>IF(F10=1,1-E10,1)</f>
        <v/>
      </c>
    </row>
    <row r="11">
      <c r="A11" s="7" t="n">
        <v>7</v>
      </c>
      <c r="B11" s="7" t="inlineStr">
        <is>
          <t>LEADER / CLLD via MAS</t>
        </is>
      </c>
      <c r="C11" s="7" t="inlineStr">
        <is>
          <t>EUR10-100k (R)</t>
        </is>
      </c>
      <c r="D11" s="7" t="inlineStr">
        <is>
          <t>Small equipment</t>
        </is>
      </c>
      <c r="E11" s="18" t="n">
        <v>0.5</v>
      </c>
      <c r="F11" s="21" t="n">
        <v>1</v>
      </c>
      <c r="G11" s="20">
        <f>IF(F11=1,1-E11,1)</f>
        <v/>
      </c>
    </row>
    <row r="12">
      <c r="A12" s="7" t="n">
        <v>8</v>
      </c>
      <c r="B12" s="7" t="inlineStr">
        <is>
          <t>Interreg SK-HU small project fund</t>
        </is>
      </c>
      <c r="C12" s="7" t="inlineStr">
        <is>
          <t>small cross-border (R)</t>
        </is>
      </c>
      <c r="D12" s="7" t="inlineStr">
        <is>
          <t>Preparedness pilot</t>
        </is>
      </c>
      <c r="E12" s="18" t="n">
        <v>0.4</v>
      </c>
      <c r="F12" s="21" t="n">
        <v>1</v>
      </c>
      <c r="G12" s="20">
        <f>IF(F12=1,1-E12,1)</f>
        <v/>
      </c>
    </row>
    <row r="13">
      <c r="A13" s="7" t="n">
        <v>9</v>
      </c>
      <c r="B13" s="7" t="inlineStr">
        <is>
          <t>Visegrad Fund</t>
        </is>
      </c>
      <c r="C13" s="7" t="inlineStr">
        <is>
          <t>EUR25-35k; small grants &lt;=EUR6k (F)</t>
        </is>
      </c>
      <c r="D13" s="7" t="inlineStr">
        <is>
          <t>Education project only</t>
        </is>
      </c>
      <c r="E13" s="18" t="n">
        <v>0.4</v>
      </c>
      <c r="F13" s="21" t="n">
        <v>1</v>
      </c>
      <c r="G13" s="20">
        <f>IF(F13=1,1-E13,1)</f>
        <v/>
      </c>
    </row>
    <row r="14">
      <c r="A14" s="7" t="n">
        <v>10</v>
      </c>
      <c r="B14" s="7" t="inlineStr">
        <is>
          <t>SBA / NHF microloan</t>
        </is>
      </c>
      <c r="C14" s="7" t="inlineStr">
        <is>
          <t>EUR2,500-50,000; 1.19-9.03% (F)</t>
        </is>
      </c>
      <c r="D14" s="7" t="inlineStr">
        <is>
          <t>Equipment / working capital</t>
        </is>
      </c>
      <c r="E14" s="18" t="n">
        <v>0.68</v>
      </c>
      <c r="F14" s="21" t="n">
        <v>1</v>
      </c>
      <c r="G14" s="20">
        <f>IF(F14=1,1-E14,1)</f>
        <v/>
      </c>
    </row>
    <row r="15">
      <c r="A15" s="7" t="n">
        <v>11</v>
      </c>
      <c r="B15" s="7" t="inlineStr">
        <is>
          <t>SZRB INVESTaktiv (EIF guarantee)</t>
        </is>
      </c>
      <c r="C15" s="7" t="inlineStr">
        <is>
          <t>investment to 20 yrs (F)</t>
        </is>
      </c>
      <c r="D15" s="7" t="inlineStr">
        <is>
          <t>Tier 3 plant</t>
        </is>
      </c>
      <c r="E15" s="18" t="n">
        <v>0.6</v>
      </c>
      <c r="F15" s="21" t="n">
        <v>1</v>
      </c>
      <c r="G15" s="20">
        <f>IF(F15=1,1-E15,1)</f>
        <v/>
      </c>
    </row>
    <row r="16">
      <c r="A16" s="7" t="n">
        <v>12</v>
      </c>
      <c r="B16" s="7" t="inlineStr">
        <is>
          <t>SIH / MH SR NDF III</t>
        </is>
      </c>
      <c r="C16" s="7" t="inlineStr">
        <is>
          <t>to EUR2.8m, 80% guarantee (F)</t>
        </is>
      </c>
      <c r="D16" s="7" t="inlineStr">
        <is>
          <t>Tier 3 plant</t>
        </is>
      </c>
      <c r="E16" s="18" t="n">
        <v>0.6</v>
      </c>
      <c r="F16" s="21" t="n">
        <v>1</v>
      </c>
      <c r="G16" s="20">
        <f>IF(F16=1,1-E16,1)</f>
        <v/>
      </c>
    </row>
    <row r="17">
      <c r="A17" s="7" t="n">
        <v>13</v>
      </c>
      <c r="B17" s="7" t="inlineStr">
        <is>
          <t>Robotisation vouchers 2026</t>
        </is>
      </c>
      <c r="C17" s="7" t="inlineStr">
        <is>
          <t>EUR3-30k at 85% (F)</t>
        </is>
      </c>
      <c r="D17" s="7" t="inlineStr">
        <is>
          <t>Automation</t>
        </is>
      </c>
      <c r="E17" s="18" t="n">
        <v>0.55</v>
      </c>
      <c r="F17" s="21" t="n">
        <v>1</v>
      </c>
      <c r="G17" s="20">
        <f>IF(F17=1,1-E17,1)</f>
        <v/>
      </c>
    </row>
    <row r="18">
      <c r="A18" s="7" t="n">
        <v>14</v>
      </c>
      <c r="B18" s="7" t="inlineStr">
        <is>
          <t>EDIP</t>
        </is>
      </c>
      <c r="C18" s="7" t="inlineStr">
        <is>
          <t>EUR1.5bn WP 2026-27 (F)</t>
        </is>
      </c>
      <c r="D18" s="7" t="inlineStr">
        <is>
          <t>Later, consortium only</t>
        </is>
      </c>
      <c r="E18" s="18" t="n">
        <v>0.1</v>
      </c>
      <c r="F18" s="21" t="n">
        <v>1</v>
      </c>
      <c r="G18" s="20">
        <f>IF(F18=1,1-E18,1)</f>
        <v/>
      </c>
    </row>
    <row r="20">
      <c r="B20" s="12" t="inlineStr">
        <is>
          <t>P(at least one succeeds), included rows</t>
        </is>
      </c>
      <c r="E20" s="13">
        <f>1-PRODUCT($G$5:$G$18)</f>
        <v/>
      </c>
    </row>
    <row r="21">
      <c r="B21" t="inlineStr">
        <is>
          <t>Set Include? to 0/1 to test a smaller portfolio</t>
        </is>
      </c>
    </row>
    <row r="22">
      <c r="B22" s="7" t="inlineStr">
        <is>
          <t>Rule (O): submit &gt;=3 INDEPENDENT applications, different systems, different calendars.</t>
        </is>
      </c>
    </row>
    <row r="23">
      <c r="B23" s="7" t="inlineStr">
        <is>
          <t>Regionalny prispevok is set to Include?=0: the 05/10/2026 call lapsed. Next call expected 2027.</t>
        </is>
      </c>
    </row>
    <row r="24">
      <c r="B24" s="7" t="inlineStr">
        <is>
          <t>TRAP (F): SZRB lends UNDER the SIH NDF III guarantee - they are ONE mechanism, not two legs.</t>
        </is>
      </c>
    </row>
    <row r="25">
      <c r="B25" s="7" t="inlineStr">
        <is>
          <t>Independent trio clearing 90%: microloan 68% + LEO Feasibility 60% + LEADER 50% = 93.6%.</t>
        </is>
      </c>
    </row>
    <row r="26">
      <c r="B26" s="7" t="inlineStr">
        <is>
          <t>Three applications to the same ministry are one application wearing three hats.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8" customWidth="1" min="10" max="10"/>
  </cols>
  <sheetData>
    <row r="1">
      <c r="A1" s="1" t="inlineStr">
        <is>
          <t>Sector scoring v2 — with a Reversibility criterion</t>
        </is>
      </c>
    </row>
    <row r="2">
      <c r="A2" s="3" t="inlineStr">
        <is>
          <t>The dossier's sheet had no measure of capital at risk before revenue. That omission is why it ranks the EUR600k bakery #1 while Addendum A rejects it.</t>
        </is>
      </c>
    </row>
    <row r="4">
      <c r="A4" s="4" t="inlineStr">
        <is>
          <t>Option</t>
        </is>
      </c>
      <c r="B4" s="4" t="inlineStr">
        <is>
          <t>Fit with skills</t>
        </is>
      </c>
      <c r="C4" s="4" t="inlineStr">
        <is>
          <t>Demand security</t>
        </is>
      </c>
      <c r="D4" s="4" t="inlineStr">
        <is>
          <t>Low capital need</t>
        </is>
      </c>
      <c r="E4" s="4" t="inlineStr">
        <is>
          <t>Grant eligibility</t>
        </is>
      </c>
      <c r="F4" s="4" t="inlineStr">
        <is>
          <t>Margin</t>
        </is>
      </c>
      <c r="G4" s="4" t="inlineStr">
        <is>
          <t>Speed to cash</t>
        </is>
      </c>
      <c r="H4" s="4" t="inlineStr">
        <is>
          <t>Reversibility</t>
        </is>
      </c>
      <c r="I4" s="4" t="inlineStr">
        <is>
          <t>Weighted score</t>
        </is>
      </c>
      <c r="J4" s="4" t="inlineStr">
        <is>
          <t>Rank</t>
        </is>
      </c>
    </row>
    <row r="5">
      <c r="A5" s="12" t="inlineStr">
        <is>
          <t>Weight (edit)</t>
        </is>
      </c>
      <c r="B5" s="8" t="n">
        <v>0.2</v>
      </c>
      <c r="C5" s="8" t="n">
        <v>0.16</v>
      </c>
      <c r="D5" s="8" t="n">
        <v>0.12</v>
      </c>
      <c r="E5" s="8" t="n">
        <v>0.12</v>
      </c>
      <c r="F5" s="8" t="n">
        <v>0.12</v>
      </c>
      <c r="G5" s="8" t="n">
        <v>0.08</v>
      </c>
      <c r="H5" s="8" t="n">
        <v>0.2</v>
      </c>
      <c r="I5" s="13">
        <f>SUM(B5:H5)</f>
        <v/>
      </c>
      <c r="J5" s="7">
        <f>IF(ABS(I5-1)&lt;0.0001,"OK","WEIGHTS != 100%")</f>
        <v/>
      </c>
    </row>
    <row r="6">
      <c r="A6" s="7" t="inlineStr">
        <is>
          <t>Tier 0 — broker / agent</t>
        </is>
      </c>
      <c r="B6" s="21" t="n">
        <v>4</v>
      </c>
      <c r="C6" s="21" t="n">
        <v>4</v>
      </c>
      <c r="D6" s="21" t="n">
        <v>5</v>
      </c>
      <c r="E6" s="21" t="n">
        <v>2</v>
      </c>
      <c r="F6" s="21" t="n">
        <v>2</v>
      </c>
      <c r="G6" s="21" t="n">
        <v>5</v>
      </c>
      <c r="H6" s="21" t="n">
        <v>5</v>
      </c>
      <c r="I6" s="22">
        <f>SUMPRODUCT($B$5:$H$5,B6:H6)</f>
        <v/>
      </c>
      <c r="J6" s="19">
        <f>RANK(I6,$I$6:$I$11)</f>
        <v/>
      </c>
    </row>
    <row r="7">
      <c r="A7" s="7" t="inlineStr">
        <is>
          <t>Tier 1 — kitter / assembler</t>
        </is>
      </c>
      <c r="B7" s="21" t="n">
        <v>4</v>
      </c>
      <c r="C7" s="21" t="n">
        <v>4</v>
      </c>
      <c r="D7" s="21" t="n">
        <v>4</v>
      </c>
      <c r="E7" s="21" t="n">
        <v>4</v>
      </c>
      <c r="F7" s="21" t="n">
        <v>3</v>
      </c>
      <c r="G7" s="21" t="n">
        <v>3</v>
      </c>
      <c r="H7" s="21" t="n">
        <v>4</v>
      </c>
      <c r="I7" s="22">
        <f>SUMPRODUCT($B$5:$H$5,B7:H7)</f>
        <v/>
      </c>
      <c r="J7" s="19">
        <f>RANK(I7,$I$6:$I$11)</f>
        <v/>
      </c>
    </row>
    <row r="8">
      <c r="A8" s="7" t="inlineStr">
        <is>
          <t>Tier 2 — reserve service</t>
        </is>
      </c>
      <c r="B8" s="21" t="n">
        <v>4</v>
      </c>
      <c r="C8" s="21" t="n">
        <v>5</v>
      </c>
      <c r="D8" s="21" t="n">
        <v>4</v>
      </c>
      <c r="E8" s="21" t="n">
        <v>3</v>
      </c>
      <c r="F8" s="21" t="n">
        <v>4</v>
      </c>
      <c r="G8" s="21" t="n">
        <v>2</v>
      </c>
      <c r="H8" s="21" t="n">
        <v>3</v>
      </c>
      <c r="I8" s="22">
        <f>SUMPRODUCT($B$5:$H$5,B8:H8)</f>
        <v/>
      </c>
      <c r="J8" s="19">
        <f>RANK(I8,$I$6:$I$11)</f>
        <v/>
      </c>
    </row>
    <row r="9">
      <c r="A9" s="7" t="inlineStr">
        <is>
          <t>Shelf-stable bakery (dossier rec.)</t>
        </is>
      </c>
      <c r="B9" s="21" t="n">
        <v>5</v>
      </c>
      <c r="C9" s="21" t="n">
        <v>4</v>
      </c>
      <c r="D9" s="21" t="n">
        <v>2</v>
      </c>
      <c r="E9" s="21" t="n">
        <v>5</v>
      </c>
      <c r="F9" s="21" t="n">
        <v>3</v>
      </c>
      <c r="G9" s="21" t="n">
        <v>3</v>
      </c>
      <c r="H9" s="21" t="n">
        <v>1</v>
      </c>
      <c r="I9" s="22">
        <f>SUMPRODUCT($B$5:$H$5,B9:H9)</f>
        <v/>
      </c>
      <c r="J9" s="19">
        <f>RANK(I9,$I$6:$I$11)</f>
        <v/>
      </c>
    </row>
    <row r="10">
      <c r="A10" s="7" t="inlineStr">
        <is>
          <t>Lubricants: distribution -&gt; blending</t>
        </is>
      </c>
      <c r="B10" s="21" t="n">
        <v>2</v>
      </c>
      <c r="C10" s="21" t="n">
        <v>4</v>
      </c>
      <c r="D10" s="21" t="n">
        <v>4</v>
      </c>
      <c r="E10" s="21" t="n">
        <v>3</v>
      </c>
      <c r="F10" s="21" t="n">
        <v>4</v>
      </c>
      <c r="G10" s="21" t="n">
        <v>4</v>
      </c>
      <c r="H10" s="21" t="n">
        <v>3</v>
      </c>
      <c r="I10" s="22">
        <f>SUMPRODUCT($B$5:$H$5,B10:H10)</f>
        <v/>
      </c>
      <c r="J10" s="19">
        <f>RANK(I10,$I$6:$I$11)</f>
        <v/>
      </c>
    </row>
    <row r="11">
      <c r="A11" s="7" t="inlineStr">
        <is>
          <t>Wooden packaging / pallets / crates</t>
        </is>
      </c>
      <c r="B11" s="21" t="n">
        <v>3</v>
      </c>
      <c r="C11" s="21" t="n">
        <v>4</v>
      </c>
      <c r="D11" s="21" t="n">
        <v>3</v>
      </c>
      <c r="E11" s="21" t="n">
        <v>4</v>
      </c>
      <c r="F11" s="21" t="n">
        <v>2</v>
      </c>
      <c r="G11" s="21" t="n">
        <v>3</v>
      </c>
      <c r="H11" s="21" t="n">
        <v>2</v>
      </c>
      <c r="I11" s="22">
        <f>SUMPRODUCT($B$5:$H$5,B11:H11)</f>
        <v/>
      </c>
      <c r="J11" s="19">
        <f>RANK(I11,$I$6:$I$11)</f>
        <v/>
      </c>
    </row>
    <row r="13">
      <c r="A13" t="inlineStr">
        <is>
          <t>(F) Original dossier weights: Fit 25% · Demand 20% · Low capital 15% · Grant 15% · Margin 15% · Speed 10%.</t>
        </is>
      </c>
    </row>
    <row r="14">
      <c r="A14" t="inlineStr">
        <is>
          <t>(O) Reversibility added at 20%, the other six scaled by 0.8 so the weights still sum to 100%.</t>
        </is>
      </c>
    </row>
    <row r="15">
      <c r="A15" t="inlineStr">
        <is>
          <t>(O) Reversibility = how much committed capital survives if the venture fails. A container line resells;</t>
        </is>
      </c>
    </row>
    <row r="16">
      <c r="A16" t="inlineStr">
        <is>
          <t xml:space="preserve">    a hall fit-out and a certification do not.</t>
        </is>
      </c>
    </row>
    <row r="17">
      <c r="A17" t="inlineStr">
        <is>
          <t>(R) Scores are judgement. Replace them with yours — that is the point of this sheet.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20" customWidth="1" min="3" max="3"/>
    <col width="16" customWidth="1" min="4" max="4"/>
    <col width="20" customWidth="1" min="5" max="5"/>
    <col width="20" customWidth="1" min="6" max="6"/>
    <col width="30" customWidth="1" min="7" max="7"/>
  </cols>
  <sheetData>
    <row r="1">
      <c r="A1" s="1" t="inlineStr">
        <is>
          <t>Tier ladder — positioning from cheapest to most expensive</t>
        </is>
      </c>
    </row>
    <row r="2">
      <c r="A2" s="3" t="inlineStr">
        <is>
          <t>Descriptive reference (F, Addendum A).</t>
        </is>
      </c>
    </row>
    <row r="4">
      <c r="A4" s="4" t="inlineStr">
        <is>
          <t>Tier</t>
        </is>
      </c>
      <c r="B4" s="4" t="inlineStr">
        <is>
          <t>What you sell</t>
        </is>
      </c>
      <c r="C4" s="4" t="inlineStr">
        <is>
          <t>Capex (EUR)</t>
        </is>
      </c>
      <c r="D4" s="4" t="inlineStr">
        <is>
          <t>Gross margin</t>
        </is>
      </c>
      <c r="E4" s="4" t="inlineStr">
        <is>
          <t>Time to first cash</t>
        </is>
      </c>
      <c r="F4" s="4" t="inlineStr">
        <is>
          <t>Win probability (R)</t>
        </is>
      </c>
      <c r="G4" s="4" t="inlineStr">
        <is>
          <t>Verdict</t>
        </is>
      </c>
    </row>
    <row r="5">
      <c r="A5" s="7" t="inlineStr">
        <is>
          <t>0 — Broker/agent</t>
        </is>
      </c>
      <c r="B5" s="7" t="inlineStr">
        <is>
          <t>Resell certified rations &amp; kits into SK tenders, back-to-back</t>
        </is>
      </c>
      <c r="C5" s="7" t="inlineStr">
        <is>
          <t>2,000-5,000</t>
        </is>
      </c>
      <c r="D5" s="7" t="inlineStr">
        <is>
          <t>6-12%</t>
        </is>
      </c>
      <c r="E5" s="7" t="inlineStr">
        <is>
          <t>60-90 days</t>
        </is>
      </c>
      <c r="F5" s="7" t="inlineStr">
        <is>
          <t>High</t>
        </is>
      </c>
      <c r="G5" s="7" t="inlineStr">
        <is>
          <t>Start here Q4 2026</t>
        </is>
      </c>
    </row>
    <row r="6">
      <c r="A6" s="7" t="inlineStr">
        <is>
          <t>1 — Kitter/assembler</t>
        </is>
      </c>
      <c r="B6" s="7" t="inlineStr">
        <is>
          <t>Assemble ration packs &amp; 72h civil kits under own HACCP</t>
        </is>
      </c>
      <c r="C6" s="7" t="inlineStr">
        <is>
          <t>120,000-180,000</t>
        </is>
      </c>
      <c r="D6" s="7" t="inlineStr">
        <is>
          <t>18-26%</t>
        </is>
      </c>
      <c r="E6" s="7" t="inlineStr">
        <is>
          <t>9-14 months</t>
        </is>
      </c>
      <c r="F6" s="7" t="inlineStr">
        <is>
          <t>Medium-high</t>
        </is>
      </c>
      <c r="G6" s="7" t="inlineStr">
        <is>
          <t>Core business 2027-28</t>
        </is>
      </c>
    </row>
    <row r="7">
      <c r="A7" s="7" t="inlineStr">
        <is>
          <t>2 — Reserve service</t>
        </is>
      </c>
      <c r="B7" s="7" t="inlineStr">
        <is>
          <t>Hold &amp; rotate state/municipal stock for an annual fee</t>
        </is>
      </c>
      <c r="C7" s="7" t="inlineStr">
        <is>
          <t>40,000-90,000</t>
        </is>
      </c>
      <c r="D7" s="7" t="inlineStr">
        <is>
          <t>25-40% on fee</t>
        </is>
      </c>
      <c r="E7" s="7" t="inlineStr">
        <is>
          <t>12-24 months</t>
        </is>
      </c>
      <c r="F7" s="7" t="inlineStr">
        <is>
          <t>Medium</t>
        </is>
      </c>
      <c r="G7" s="7" t="inlineStr">
        <is>
          <t>The annuity — highest value</t>
        </is>
      </c>
    </row>
    <row r="8">
      <c r="A8" s="7" t="inlineStr">
        <is>
          <t>3 — Own production</t>
        </is>
      </c>
      <c r="B8" s="7" t="inlineStr">
        <is>
          <t>Shelf-stable bakery / retort / lyo line (original plan)</t>
        </is>
      </c>
      <c r="C8" s="7" t="inlineStr">
        <is>
          <t>450,000-700,000</t>
        </is>
      </c>
      <c r="D8" s="7" t="inlineStr">
        <is>
          <t>30-38%</t>
        </is>
      </c>
      <c r="E8" s="7" t="inlineStr">
        <is>
          <t>24-36 months</t>
        </is>
      </c>
      <c r="F8" s="7" t="inlineStr">
        <is>
          <t>Medium</t>
        </is>
      </c>
      <c r="G8" s="7" t="inlineStr">
        <is>
          <t>Only after Tier 1 contracts</t>
        </is>
      </c>
    </row>
    <row r="9">
      <c r="A9" s="7" t="inlineStr">
        <is>
          <t>4 — Deployable modules</t>
        </is>
      </c>
      <c r="B9" s="7" t="inlineStr">
        <is>
          <t>Containerised field bakery/kitchen/packing, sold or leased</t>
        </is>
      </c>
      <c r="C9" s="7" t="inlineStr">
        <is>
          <t>150,000-400,000/unit</t>
        </is>
      </c>
      <c r="D9" s="7" t="inlineStr">
        <is>
          <t>25-35%</t>
        </is>
      </c>
      <c r="E9" s="7" t="inlineStr">
        <is>
          <t>18-30 months</t>
        </is>
      </c>
      <c r="F9" s="7" t="inlineStr">
        <is>
          <t>Low-medium</t>
        </is>
      </c>
      <c r="G9" s="7" t="inlineStr">
        <is>
          <t>Export &amp; NSPA upside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2026-10-06T09:03:01Z</dcterms:created>
  <dcterms:modified xsi:type="dcterms:W3CDTF">2026-10-06T09:03:01Z</dcterms:modified>
</cp:coreProperties>
</file>